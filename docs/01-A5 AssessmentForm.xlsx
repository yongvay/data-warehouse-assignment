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36C0DEB-214C-487F-B7F8-8390EC075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ssment Form" sheetId="1" r:id="rId1"/>
    <sheet name="Rubric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H16" i="1" s="1"/>
  <c r="G17" i="1"/>
  <c r="H17" i="1" s="1"/>
  <c r="G18" i="1"/>
  <c r="H18" i="1" s="1"/>
  <c r="G19" i="1"/>
  <c r="I16" i="1"/>
  <c r="J16" i="1" s="1"/>
  <c r="I17" i="1"/>
  <c r="I18" i="1"/>
  <c r="I19" i="1"/>
  <c r="K16" i="1"/>
  <c r="L16" i="1" s="1"/>
  <c r="K17" i="1"/>
  <c r="L17" i="1" s="1"/>
  <c r="K18" i="1"/>
  <c r="L18" i="1" s="1"/>
  <c r="K19" i="1"/>
  <c r="L19" i="1" s="1"/>
  <c r="L21" i="1"/>
  <c r="J21" i="1"/>
  <c r="H21" i="1"/>
  <c r="F21" i="1"/>
  <c r="L20" i="1"/>
  <c r="J20" i="1"/>
  <c r="J23" i="1" s="1"/>
  <c r="H20" i="1"/>
  <c r="H23" i="1" s="1"/>
  <c r="F20" i="1"/>
  <c r="F16" i="1"/>
  <c r="F17" i="1"/>
  <c r="J18" i="1"/>
  <c r="F18" i="1"/>
  <c r="F19" i="1"/>
  <c r="D22" i="1"/>
  <c r="D23" i="1"/>
  <c r="D11" i="1"/>
  <c r="E11" i="1" s="1"/>
  <c r="D10" i="1"/>
  <c r="E10" i="1" s="1"/>
  <c r="D9" i="1"/>
  <c r="E9" i="1" s="1"/>
  <c r="D8" i="1"/>
  <c r="E8" i="1" s="1"/>
  <c r="J19" i="1"/>
  <c r="H19" i="1"/>
  <c r="J17" i="1"/>
  <c r="L23" i="1" l="1"/>
  <c r="F23" i="1"/>
  <c r="F22" i="1"/>
  <c r="H22" i="1"/>
  <c r="J22" i="1"/>
  <c r="L22" i="1"/>
  <c r="D28" i="1"/>
  <c r="J28" i="1" l="1"/>
  <c r="H28" i="1"/>
  <c r="L28" i="1"/>
  <c r="F28" i="1"/>
</calcChain>
</file>

<file path=xl/sharedStrings.xml><?xml version="1.0" encoding="utf-8"?>
<sst xmlns="http://schemas.openxmlformats.org/spreadsheetml/2006/main" count="109" uniqueCount="96">
  <si>
    <t>Official Marking Scheme - 40% Group / 60% Individual Split (1-5 Scaled)</t>
  </si>
  <si>
    <t>STUDENT ASSESSMENT &amp; MARKS SUMMARY</t>
  </si>
  <si>
    <t>Student Ref</t>
  </si>
  <si>
    <t>Student ID</t>
  </si>
  <si>
    <t>Student Name</t>
  </si>
  <si>
    <t>Final Mark (/100)</t>
  </si>
  <si>
    <t>Grade</t>
  </si>
  <si>
    <t>Student 1</t>
  </si>
  <si>
    <t>[Enter ID]</t>
  </si>
  <si>
    <t>[Enter Name 1]</t>
  </si>
  <si>
    <t>Student 2</t>
  </si>
  <si>
    <t>[Enter Name 2]</t>
  </si>
  <si>
    <t>Student 3</t>
  </si>
  <si>
    <t>[Enter Name 3]</t>
  </si>
  <si>
    <t>Student 4</t>
  </si>
  <si>
    <t>[Enter Name 4]</t>
  </si>
  <si>
    <t>DETAILED MARKS SPECIFICATIONS (1-5 SCALED RATING)</t>
  </si>
  <si>
    <t>*Note: Rate each component from 1 to 5. For group components, enter values under Student 1 only.</t>
  </si>
  <si>
    <t>Task No</t>
  </si>
  <si>
    <t>Assessment Component</t>
  </si>
  <si>
    <t>Criteria Description</t>
  </si>
  <si>
    <t>Max</t>
  </si>
  <si>
    <t>S1 Score
(1-5)</t>
  </si>
  <si>
    <t>S1 Mark</t>
  </si>
  <si>
    <t>S2 Score
(1-5)</t>
  </si>
  <si>
    <t>S2 Mark</t>
  </si>
  <si>
    <t>S3 Score
(1-5)</t>
  </si>
  <si>
    <t>S3 Mark</t>
  </si>
  <si>
    <t>S4 Score
(1-5)</t>
  </si>
  <si>
    <t>S4 Mark</t>
  </si>
  <si>
    <t>Group Task</t>
  </si>
  <si>
    <t>Task 3</t>
  </si>
  <si>
    <t>Task 4</t>
  </si>
  <si>
    <t>Individual Task</t>
  </si>
  <si>
    <t>SUB-TOTAL GROUP MARKS (40%)</t>
  </si>
  <si>
    <t>SUB-TOTAL INDIVIDUAL MARKS (60%)</t>
  </si>
  <si>
    <t>FINAL TOTAL MARKS</t>
  </si>
  <si>
    <t>Detailed descriptive matrices mapped across the strict 1-5 evaluation standard.</t>
  </si>
  <si>
    <t>Task</t>
  </si>
  <si>
    <t>Criteria Component</t>
  </si>
  <si>
    <t>Excellent (5)</t>
  </si>
  <si>
    <t>Good (4)</t>
  </si>
  <si>
    <t>Average (3)</t>
  </si>
  <si>
    <t>Fair (2)</t>
  </si>
  <si>
    <t>Poor / Very Poor (1)</t>
  </si>
  <si>
    <t>Programme (Year-Semester-Group):</t>
  </si>
  <si>
    <t>[ E.g., RDS1-S2-G3 ]</t>
  </si>
  <si>
    <t>Assessment Date:</t>
  </si>
  <si>
    <t>BAIT3003 DATA WAREHOUSE TECHNOLOGY ASSIGNMENT</t>
  </si>
  <si>
    <t>Task 1a</t>
  </si>
  <si>
    <t>Task 1b</t>
  </si>
  <si>
    <t>Task 2a</t>
  </si>
  <si>
    <t>Task 2b</t>
  </si>
  <si>
    <r>
      <rPr>
        <b/>
        <sz val="10"/>
        <rFont val="Arial"/>
        <family val="2"/>
      </rPr>
      <t xml:space="preserve">Logical Design: </t>
    </r>
    <r>
      <rPr>
        <sz val="10"/>
        <rFont val="Arial"/>
        <family val="2"/>
      </rPr>
      <t>Clear identification of relevant dimensions and correct transactional/summary measures in the star-schema fact table.</t>
    </r>
  </si>
  <si>
    <r>
      <rPr>
        <b/>
        <sz val="10"/>
        <rFont val="Arial"/>
        <family val="2"/>
      </rPr>
      <t>Physical Design:</t>
    </r>
    <r>
      <rPr>
        <sz val="10"/>
        <rFont val="Arial"/>
        <family val="2"/>
      </rPr>
      <t xml:space="preserve"> Complete DDL CREATE TABLE scripts specifying optimal data types, sizes, integrity constraints, and at least one Type 2 dimension table.</t>
    </r>
  </si>
  <si>
    <r>
      <rPr>
        <b/>
        <sz val="10"/>
        <rFont val="Arial"/>
        <family val="2"/>
      </rPr>
      <t>Initial ETL Loading</t>
    </r>
    <r>
      <rPr>
        <sz val="10"/>
        <rFont val="Arial"/>
        <family val="2"/>
      </rPr>
      <t>: Robust creation of SQL views, select blocks, and stored procedures to execute the historical database migration.</t>
    </r>
  </si>
  <si>
    <r>
      <rPr>
        <b/>
        <sz val="10"/>
        <rFont val="Arial"/>
        <family val="2"/>
      </rPr>
      <t>Subsequent ETL Loading:</t>
    </r>
    <r>
      <rPr>
        <sz val="10"/>
        <rFont val="Arial"/>
        <family val="2"/>
      </rPr>
      <t xml:space="preserve"> Functional scripts handling ongoing incremental data addition with programmatic logic to clean and scrub dirty data.</t>
    </r>
  </si>
  <si>
    <r>
      <rPr>
        <b/>
        <sz val="10"/>
        <rFont val="Arial"/>
        <family val="2"/>
      </rPr>
      <t>Business Analytics Queries</t>
    </r>
    <r>
      <rPr>
        <sz val="10"/>
        <rFont val="Arial"/>
        <family val="2"/>
      </rPr>
      <t>: Generation of 3 flexible multi-dimensional reports, featuring clear visualizations and deep management strategic analysis.</t>
    </r>
  </si>
  <si>
    <r>
      <rPr>
        <b/>
        <sz val="10"/>
        <rFont val="Arial"/>
        <family val="2"/>
      </rPr>
      <t>Assignment Report:</t>
    </r>
    <r>
      <rPr>
        <sz val="10"/>
        <rFont val="Arial"/>
        <family val="2"/>
      </rPr>
      <t xml:space="preserve"> Quality of the documentation, proper section numbering, headers/footers, and adherence to the layout sample format.</t>
    </r>
  </si>
  <si>
    <t>BMIT3003 REVISED RUBRIC EVALUATION GUIDE</t>
  </si>
  <si>
    <t>Logical Design</t>
  </si>
  <si>
    <t>Physical Design</t>
  </si>
  <si>
    <t>Initial ETL</t>
  </si>
  <si>
    <t>Subsequent ETL</t>
  </si>
  <si>
    <t>Analytics Queries</t>
  </si>
  <si>
    <t>Final Report</t>
  </si>
  <si>
    <t>Star schema is flawless; all dimensions are highly optimized and fact measures match business metrics perfectly.</t>
  </si>
  <si>
    <t>Solid schema; correct fact table measures with minor layout omissions.</t>
  </si>
  <si>
    <t>Acceptable layout; minor flaws in dimension grouping or loose attributes.</t>
  </si>
  <si>
    <t>Weak layout; incorrect fact metrics or missing vital business contexts.</t>
  </si>
  <si>
    <t>Faulty or completely missing star-schema dimensions.</t>
  </si>
  <si>
    <t>Impeccable SQL scripts, optimal data constraints, and flawless historical Type 2 tracking.</t>
  </si>
  <si>
    <t>Secure database creation script; minor data type size slips, includes Type 2 tracking.</t>
  </si>
  <si>
    <t>Functional schema but weak integrity rules or flawed Type 2 implementation.</t>
  </si>
  <si>
    <t>Broken schema lines; fails to implement Type 2 dimension tracking.</t>
  </si>
  <si>
    <t>Invalid script layout or failed integrity constraints entirely.</t>
  </si>
  <si>
    <t>Masterful procedures, views, and selections executing the historical load cleanly.</t>
  </si>
  <si>
    <t>Strong historical data transfer scripts with minor optimization gaps.</t>
  </si>
  <si>
    <t>Baseline loading works but lacks programmatic validation or loops.</t>
  </si>
  <si>
    <t>Weak syntax; multiple runtime script generation errors during migration.</t>
  </si>
  <si>
    <t>Defective migration scripts or blank target tables.</t>
  </si>
  <si>
    <t>Flawless incremental scripts with advanced, bulletproof data scrubbing logic.</t>
  </si>
  <si>
    <t>Solid ongoing insert/update routines with clean data cleaning metrics.</t>
  </si>
  <si>
    <t>Functional incremental load but misses deep data validation rules.</t>
  </si>
  <si>
    <t xml:space="preserve">High failure rates; script struggles to clear or bypass dirty data records.  </t>
  </si>
  <si>
    <t xml:space="preserve">Completely broken scripts or total lack of data cleaning logic.  </t>
  </si>
  <si>
    <t>High-quality reports with accurate visual charts and clear trend interpretations.</t>
  </si>
  <si>
    <t>Standard query outputs; lacks deep management decisions or clear trends.</t>
  </si>
  <si>
    <t>Sloppy presentation; weak analysis answering minimal management questions.</t>
  </si>
  <si>
    <t>Pristine technical layout, flawless numbering, and matching sample format perfectly.</t>
  </si>
  <si>
    <t>Highly organized report using explicit page indicators and clean sections.</t>
  </si>
  <si>
    <t xml:space="preserve">Satisfactory report but contains misaligned code blocks or missing footers.  </t>
  </si>
  <si>
    <t>Disorganized documentation; missing required sample format chapters.</t>
  </si>
  <si>
    <t>Fragmented and messy report compilation.</t>
  </si>
  <si>
    <t>Outstanding reports, meaningful visualizations, and sharp data-driven business commentary.</t>
  </si>
  <si>
    <t>Missing visualizations, broken queries, or no business insight.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</si>
</sst>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B365D"/>
      <name val="Arial"/>
      <family val="2"/>
    </font>
    <font>
      <i/>
      <sz val="9"/>
      <color rgb="FF64748B"/>
      <name val="Arial"/>
      <family val="2"/>
    </font>
    <font>
      <b/>
      <sz val="12"/>
      <color rgb="FF1B365D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B365D"/>
      <name val="Arial"/>
      <family val="2"/>
    </font>
    <font>
      <b/>
      <sz val="10"/>
      <color theme="1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CBD5E1"/>
        <bgColor rgb="FFCBD5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0" fontId="5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7" fillId="6" borderId="2" xfId="0" applyFont="1" applyFill="1" applyBorder="1" applyAlignment="1">
      <alignment horizontal="right" vertical="center"/>
    </xf>
    <xf numFmtId="0" fontId="0" fillId="6" borderId="2" xfId="0" applyFill="1" applyBorder="1"/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4" workbookViewId="0">
      <selection activeCell="M22" sqref="M22"/>
    </sheetView>
  </sheetViews>
  <sheetFormatPr defaultRowHeight="15" x14ac:dyDescent="0.25"/>
  <cols>
    <col min="1" max="1" width="26.42578125" customWidth="1"/>
    <col min="2" max="2" width="18" customWidth="1"/>
    <col min="3" max="3" width="46" customWidth="1"/>
    <col min="4" max="4" width="8" customWidth="1"/>
    <col min="5" max="12" width="13" customWidth="1"/>
    <col min="13" max="13" width="13.85546875" customWidth="1"/>
    <col min="14" max="14" width="14.28515625" customWidth="1"/>
  </cols>
  <sheetData>
    <row r="1" spans="1:12" ht="20.25" x14ac:dyDescent="0.3">
      <c r="A1" s="1" t="s">
        <v>48</v>
      </c>
    </row>
    <row r="2" spans="1:12" x14ac:dyDescent="0.25">
      <c r="A2" s="2" t="s">
        <v>0</v>
      </c>
    </row>
    <row r="4" spans="1:12" x14ac:dyDescent="0.25">
      <c r="A4" s="18" t="s">
        <v>45</v>
      </c>
      <c r="C4" s="19" t="s">
        <v>46</v>
      </c>
      <c r="F4" s="18" t="s">
        <v>47</v>
      </c>
      <c r="H4" s="21">
        <v>46184</v>
      </c>
    </row>
    <row r="5" spans="1:12" x14ac:dyDescent="0.25">
      <c r="A5" s="18"/>
      <c r="C5" s="19"/>
      <c r="F5" s="18"/>
      <c r="H5" s="20"/>
      <c r="I5" s="18"/>
      <c r="K5" s="19"/>
    </row>
    <row r="6" spans="1:12" ht="15.75" x14ac:dyDescent="0.25">
      <c r="A6" s="3" t="s">
        <v>1</v>
      </c>
    </row>
    <row r="7" spans="1:12" ht="24" customHeight="1" x14ac:dyDescent="0.2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12" ht="20.100000000000001" customHeight="1" x14ac:dyDescent="0.25">
      <c r="A8" s="5" t="s">
        <v>7</v>
      </c>
      <c r="B8" s="6" t="s">
        <v>8</v>
      </c>
      <c r="C8" s="6" t="s">
        <v>9</v>
      </c>
      <c r="D8" s="7">
        <f>E28</f>
        <v>0</v>
      </c>
      <c r="E8" s="8" t="str">
        <f>IF(D8&gt;=80,"A",IF(D8&gt;=75,"A-",IF(D8&gt;=70,"B+",IF(D8&gt;=65,"B",IF(D8&gt;=60,"B-",IF(D8&gt;=55,"C+",IF(D8&gt;=50,"C","F")))))))</f>
        <v>F</v>
      </c>
    </row>
    <row r="9" spans="1:12" ht="20.100000000000001" customHeight="1" x14ac:dyDescent="0.25">
      <c r="A9" s="5" t="s">
        <v>10</v>
      </c>
      <c r="B9" s="6" t="s">
        <v>8</v>
      </c>
      <c r="C9" s="6" t="s">
        <v>11</v>
      </c>
      <c r="D9" s="7">
        <f>G28</f>
        <v>0</v>
      </c>
      <c r="E9" s="8" t="str">
        <f>IF(D9&gt;=80,"A",IF(D9&gt;=75,"A-",IF(D9&gt;=70,"B+",IF(D9&gt;=65,"B",IF(D9&gt;=60,"B-",IF(D9&gt;=55,"C+",IF(D9&gt;=50,"C","F")))))))</f>
        <v>F</v>
      </c>
    </row>
    <row r="10" spans="1:12" ht="20.100000000000001" customHeight="1" x14ac:dyDescent="0.25">
      <c r="A10" s="5" t="s">
        <v>12</v>
      </c>
      <c r="B10" s="6" t="s">
        <v>8</v>
      </c>
      <c r="C10" s="6" t="s">
        <v>13</v>
      </c>
      <c r="D10" s="7">
        <f>I28</f>
        <v>0</v>
      </c>
      <c r="E10" s="8" t="str">
        <f>IF(D10&gt;=80,"A",IF(D10&gt;=75,"A-",IF(D10&gt;=70,"B+",IF(D10&gt;=65,"B",IF(D10&gt;=60,"B-",IF(D10&gt;=55,"C+",IF(D10&gt;=50,"C","F")))))))</f>
        <v>F</v>
      </c>
    </row>
    <row r="11" spans="1:12" ht="20.100000000000001" customHeight="1" x14ac:dyDescent="0.25">
      <c r="A11" s="5" t="s">
        <v>14</v>
      </c>
      <c r="B11" s="6" t="s">
        <v>8</v>
      </c>
      <c r="C11" s="6" t="s">
        <v>15</v>
      </c>
      <c r="D11" s="7">
        <f>K28</f>
        <v>0</v>
      </c>
      <c r="E11" s="8" t="str">
        <f>IF(D11&gt;=80,"A",IF(D11&gt;=75,"A-",IF(D11&gt;=70,"B+",IF(D11&gt;=65,"B",IF(D11&gt;=60,"B-",IF(D11&gt;=55,"C+",IF(D11&gt;=50,"C","F")))))))</f>
        <v>F</v>
      </c>
    </row>
    <row r="13" spans="1:12" ht="15.75" x14ac:dyDescent="0.25">
      <c r="A13" s="3" t="s">
        <v>16</v>
      </c>
    </row>
    <row r="14" spans="1:12" x14ac:dyDescent="0.25">
      <c r="A14" s="2" t="s">
        <v>17</v>
      </c>
    </row>
    <row r="15" spans="1:12" ht="30" customHeight="1" x14ac:dyDescent="0.25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4" t="s">
        <v>25</v>
      </c>
      <c r="I15" s="4" t="s">
        <v>26</v>
      </c>
      <c r="J15" s="4" t="s">
        <v>27</v>
      </c>
      <c r="K15" s="4" t="s">
        <v>28</v>
      </c>
      <c r="L15" s="4" t="s">
        <v>29</v>
      </c>
    </row>
    <row r="16" spans="1:12" ht="39.950000000000003" customHeight="1" x14ac:dyDescent="0.25">
      <c r="A16" s="9" t="s">
        <v>49</v>
      </c>
      <c r="B16" s="9" t="s">
        <v>30</v>
      </c>
      <c r="C16" s="10" t="s">
        <v>53</v>
      </c>
      <c r="D16" s="9">
        <v>5</v>
      </c>
      <c r="E16" s="8"/>
      <c r="F16" s="11">
        <f>IF(ISBLANK(E16),0,E16*1)</f>
        <v>0</v>
      </c>
      <c r="G16" s="12">
        <f>E16</f>
        <v>0</v>
      </c>
      <c r="H16" s="11">
        <f>G16*1</f>
        <v>0</v>
      </c>
      <c r="I16" s="12">
        <f>E16</f>
        <v>0</v>
      </c>
      <c r="J16" s="11">
        <f>I16*1</f>
        <v>0</v>
      </c>
      <c r="K16" s="12">
        <f>E16</f>
        <v>0</v>
      </c>
      <c r="L16" s="11">
        <f>K16*1</f>
        <v>0</v>
      </c>
    </row>
    <row r="17" spans="1:12" ht="39.950000000000003" customHeight="1" x14ac:dyDescent="0.25">
      <c r="A17" s="13" t="s">
        <v>50</v>
      </c>
      <c r="B17" s="13" t="s">
        <v>30</v>
      </c>
      <c r="C17" s="14" t="s">
        <v>54</v>
      </c>
      <c r="D17" s="13">
        <v>5</v>
      </c>
      <c r="E17" s="8"/>
      <c r="F17" s="11">
        <f>IF(ISBLANK(E17),0,E17*1)</f>
        <v>0</v>
      </c>
      <c r="G17" s="12">
        <f>E17</f>
        <v>0</v>
      </c>
      <c r="H17" s="11">
        <f>G17*1</f>
        <v>0</v>
      </c>
      <c r="I17" s="12">
        <f>E17</f>
        <v>0</v>
      </c>
      <c r="J17" s="11">
        <f>I17*1</f>
        <v>0</v>
      </c>
      <c r="K17" s="12">
        <f>E17</f>
        <v>0</v>
      </c>
      <c r="L17" s="11">
        <f>K17*1</f>
        <v>0</v>
      </c>
    </row>
    <row r="18" spans="1:12" ht="39.950000000000003" customHeight="1" x14ac:dyDescent="0.25">
      <c r="A18" s="9" t="s">
        <v>51</v>
      </c>
      <c r="B18" s="9" t="s">
        <v>30</v>
      </c>
      <c r="C18" s="10" t="s">
        <v>55</v>
      </c>
      <c r="D18" s="9">
        <v>15</v>
      </c>
      <c r="E18" s="8"/>
      <c r="F18" s="11">
        <f>IF(ISBLANK(E18),0,E18*3)</f>
        <v>0</v>
      </c>
      <c r="G18" s="12">
        <f>E18</f>
        <v>0</v>
      </c>
      <c r="H18" s="11">
        <f>G18*3</f>
        <v>0</v>
      </c>
      <c r="I18" s="12">
        <f>E18</f>
        <v>0</v>
      </c>
      <c r="J18" s="11">
        <f>I18*3</f>
        <v>0</v>
      </c>
      <c r="K18" s="12">
        <f>E18</f>
        <v>0</v>
      </c>
      <c r="L18" s="11">
        <f>K18*3</f>
        <v>0</v>
      </c>
    </row>
    <row r="19" spans="1:12" ht="39.950000000000003" customHeight="1" x14ac:dyDescent="0.25">
      <c r="A19" s="13" t="s">
        <v>52</v>
      </c>
      <c r="B19" s="13" t="s">
        <v>30</v>
      </c>
      <c r="C19" s="14" t="s">
        <v>56</v>
      </c>
      <c r="D19" s="13">
        <v>15</v>
      </c>
      <c r="E19" s="8"/>
      <c r="F19" s="11">
        <f>IF(ISBLANK(E19),0,E19*3)</f>
        <v>0</v>
      </c>
      <c r="G19" s="12">
        <f>E19</f>
        <v>0</v>
      </c>
      <c r="H19" s="11">
        <f>G19*3</f>
        <v>0</v>
      </c>
      <c r="I19" s="12">
        <f>E19</f>
        <v>0</v>
      </c>
      <c r="J19" s="11">
        <f>I19*3</f>
        <v>0</v>
      </c>
      <c r="K19" s="12">
        <f>E19</f>
        <v>0</v>
      </c>
      <c r="L19" s="11">
        <f>K19*3</f>
        <v>0</v>
      </c>
    </row>
    <row r="20" spans="1:12" ht="39.950000000000003" customHeight="1" x14ac:dyDescent="0.25">
      <c r="A20" s="9" t="s">
        <v>31</v>
      </c>
      <c r="B20" s="13" t="s">
        <v>33</v>
      </c>
      <c r="C20" s="10" t="s">
        <v>57</v>
      </c>
      <c r="D20" s="9">
        <v>45</v>
      </c>
      <c r="E20" s="26"/>
      <c r="F20" s="11">
        <f>IF(ISBLANK(E20),0,E20*9)</f>
        <v>0</v>
      </c>
      <c r="G20" s="27"/>
      <c r="H20" s="11">
        <f>G20*9</f>
        <v>0</v>
      </c>
      <c r="I20" s="27"/>
      <c r="J20" s="11">
        <f>I20*9</f>
        <v>0</v>
      </c>
      <c r="K20" s="27"/>
      <c r="L20" s="11">
        <f>K20*9</f>
        <v>0</v>
      </c>
    </row>
    <row r="21" spans="1:12" ht="39.950000000000003" customHeight="1" x14ac:dyDescent="0.25">
      <c r="A21" s="13" t="s">
        <v>32</v>
      </c>
      <c r="B21" s="13" t="s">
        <v>33</v>
      </c>
      <c r="C21" s="14" t="s">
        <v>58</v>
      </c>
      <c r="D21" s="13">
        <v>15</v>
      </c>
      <c r="E21" s="8"/>
      <c r="F21" s="11">
        <f>IF(ISBLANK(E21),0,E21*3)</f>
        <v>0</v>
      </c>
      <c r="G21" s="8"/>
      <c r="H21" s="11">
        <f>G21*3</f>
        <v>0</v>
      </c>
      <c r="I21" s="8"/>
      <c r="J21" s="11">
        <f>I21*3</f>
        <v>0</v>
      </c>
      <c r="K21" s="8"/>
      <c r="L21" s="11">
        <f>K21*3</f>
        <v>0</v>
      </c>
    </row>
    <row r="22" spans="1:12" x14ac:dyDescent="0.25">
      <c r="A22" s="22" t="s">
        <v>34</v>
      </c>
      <c r="B22" s="23"/>
      <c r="C22" s="23"/>
      <c r="D22" s="11">
        <f>SUM(D16:D19)</f>
        <v>40</v>
      </c>
      <c r="E22" s="15"/>
      <c r="F22" s="11">
        <f>SUM(F16:F19)</f>
        <v>0</v>
      </c>
      <c r="G22" s="15"/>
      <c r="H22" s="11">
        <f>SUM(H16:H19)</f>
        <v>0</v>
      </c>
      <c r="I22" s="15"/>
      <c r="J22" s="11">
        <f>SUM(J16:J19)</f>
        <v>0</v>
      </c>
      <c r="K22" s="15"/>
      <c r="L22" s="11">
        <f>SUM(L16:L19)</f>
        <v>0</v>
      </c>
    </row>
    <row r="23" spans="1:12" x14ac:dyDescent="0.25">
      <c r="A23" s="22" t="s">
        <v>35</v>
      </c>
      <c r="B23" s="23"/>
      <c r="C23" s="23"/>
      <c r="D23" s="11">
        <f>SUM(D20:D21)</f>
        <v>60</v>
      </c>
      <c r="E23" s="15"/>
      <c r="F23" s="11">
        <f>SUM(F20:F21)</f>
        <v>0</v>
      </c>
      <c r="G23" s="15"/>
      <c r="H23" s="11">
        <f>SUM(H20:H21)</f>
        <v>0</v>
      </c>
      <c r="I23" s="15"/>
      <c r="J23" s="11">
        <f>SUM(J20:J21)</f>
        <v>0</v>
      </c>
      <c r="K23" s="15"/>
      <c r="L23" s="11">
        <f>SUM(L20:L21)</f>
        <v>0</v>
      </c>
    </row>
    <row r="28" spans="1:12" ht="15.75" thickBot="1" x14ac:dyDescent="0.3">
      <c r="A28" s="24" t="s">
        <v>36</v>
      </c>
      <c r="B28" s="25"/>
      <c r="C28" s="25"/>
      <c r="D28" s="17">
        <f>D22+D23</f>
        <v>100</v>
      </c>
      <c r="E28" s="16"/>
      <c r="F28" s="17">
        <f>F22+F23</f>
        <v>0</v>
      </c>
      <c r="G28" s="16"/>
      <c r="H28" s="17">
        <f>H22+H23</f>
        <v>0</v>
      </c>
      <c r="I28" s="16"/>
      <c r="J28" s="17">
        <f>J22+J23</f>
        <v>0</v>
      </c>
      <c r="K28" s="16"/>
      <c r="L28" s="17">
        <f>L22+L23</f>
        <v>0</v>
      </c>
    </row>
    <row r="29" spans="1:12" ht="15.75" thickTop="1" x14ac:dyDescent="0.25"/>
  </sheetData>
  <mergeCells count="3">
    <mergeCell ref="A22:C22"/>
    <mergeCell ref="A23:C23"/>
    <mergeCell ref="A28:C28"/>
  </mergeCells>
  <dataValidations count="1">
    <dataValidation type="whole" allowBlank="1" errorTitle="Invalid Rating" error="Invalid Entry. Please specify a value between 1 and 5." promptTitle="Standard Scale" prompt="Input score rating from 1 to 5" sqref="E16:E21 G21 I21 K21" xr:uid="{00000000-0002-0000-0000-000000000000}">
      <formula1>1</formula1>
      <formula2>5</formula2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J10" sqref="J10"/>
    </sheetView>
  </sheetViews>
  <sheetFormatPr defaultRowHeight="15" x14ac:dyDescent="0.25"/>
  <cols>
    <col min="1" max="1" width="12" customWidth="1"/>
    <col min="2" max="2" width="24" customWidth="1"/>
    <col min="3" max="7" width="28" customWidth="1"/>
  </cols>
  <sheetData>
    <row r="1" spans="1:7" ht="20.25" x14ac:dyDescent="0.3">
      <c r="A1" s="1" t="s">
        <v>59</v>
      </c>
    </row>
    <row r="2" spans="1:7" x14ac:dyDescent="0.25">
      <c r="A2" s="2" t="s">
        <v>37</v>
      </c>
    </row>
    <row r="4" spans="1:7" ht="24.95" customHeight="1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</row>
    <row r="5" spans="1:7" ht="60" customHeight="1" x14ac:dyDescent="0.25">
      <c r="A5" s="8" t="s">
        <v>49</v>
      </c>
      <c r="B5" s="7" t="s">
        <v>60</v>
      </c>
      <c r="C5" s="14" t="s">
        <v>66</v>
      </c>
      <c r="D5" s="14" t="s">
        <v>67</v>
      </c>
      <c r="E5" s="14" t="s">
        <v>68</v>
      </c>
      <c r="F5" s="14" t="s">
        <v>69</v>
      </c>
      <c r="G5" s="14" t="s">
        <v>70</v>
      </c>
    </row>
    <row r="6" spans="1:7" ht="60" customHeight="1" x14ac:dyDescent="0.25">
      <c r="A6" s="7" t="s">
        <v>50</v>
      </c>
      <c r="B6" s="8" t="s">
        <v>61</v>
      </c>
      <c r="C6" s="10" t="s">
        <v>71</v>
      </c>
      <c r="D6" s="10" t="s">
        <v>72</v>
      </c>
      <c r="E6" s="10" t="s">
        <v>73</v>
      </c>
      <c r="F6" s="10" t="s">
        <v>74</v>
      </c>
      <c r="G6" s="10" t="s">
        <v>75</v>
      </c>
    </row>
    <row r="7" spans="1:7" ht="60" customHeight="1" x14ac:dyDescent="0.25">
      <c r="A7" s="8" t="s">
        <v>51</v>
      </c>
      <c r="B7" s="7" t="s">
        <v>62</v>
      </c>
      <c r="C7" s="14" t="s">
        <v>76</v>
      </c>
      <c r="D7" s="14" t="s">
        <v>77</v>
      </c>
      <c r="E7" s="14" t="s">
        <v>78</v>
      </c>
      <c r="F7" s="14" t="s">
        <v>79</v>
      </c>
      <c r="G7" s="14" t="s">
        <v>80</v>
      </c>
    </row>
    <row r="8" spans="1:7" ht="60" customHeight="1" x14ac:dyDescent="0.25">
      <c r="A8" s="7" t="s">
        <v>52</v>
      </c>
      <c r="B8" s="8" t="s">
        <v>63</v>
      </c>
      <c r="C8" s="10" t="s">
        <v>81</v>
      </c>
      <c r="D8" s="10" t="s">
        <v>82</v>
      </c>
      <c r="E8" s="10" t="s">
        <v>83</v>
      </c>
      <c r="F8" s="10" t="s">
        <v>84</v>
      </c>
      <c r="G8" s="10" t="s">
        <v>85</v>
      </c>
    </row>
    <row r="9" spans="1:7" ht="60" customHeight="1" x14ac:dyDescent="0.25">
      <c r="A9" s="8" t="s">
        <v>31</v>
      </c>
      <c r="B9" s="7" t="s">
        <v>64</v>
      </c>
      <c r="C9" s="14" t="s">
        <v>94</v>
      </c>
      <c r="D9" s="14" t="s">
        <v>86</v>
      </c>
      <c r="E9" s="14" t="s">
        <v>87</v>
      </c>
      <c r="F9" s="14" t="s">
        <v>88</v>
      </c>
      <c r="G9" s="14" t="s">
        <v>95</v>
      </c>
    </row>
    <row r="10" spans="1:7" ht="60" customHeight="1" x14ac:dyDescent="0.25">
      <c r="A10" s="7" t="s">
        <v>32</v>
      </c>
      <c r="B10" s="8" t="s">
        <v>65</v>
      </c>
      <c r="C10" s="10" t="s">
        <v>89</v>
      </c>
      <c r="D10" s="10" t="s">
        <v>90</v>
      </c>
      <c r="E10" s="10" t="s">
        <v>91</v>
      </c>
      <c r="F10" s="10" t="s">
        <v>92</v>
      </c>
      <c r="G10" s="10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Form</vt:lpstr>
      <vt:lpstr>Rubric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HAU</cp:lastModifiedBy>
  <dcterms:created xsi:type="dcterms:W3CDTF">2026-06-14T13:40:31Z</dcterms:created>
  <dcterms:modified xsi:type="dcterms:W3CDTF">2026-06-24T05:28:24Z</dcterms:modified>
</cp:coreProperties>
</file>